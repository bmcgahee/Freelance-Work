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127" codeName="{1563B04E-AB91-75FE-B8BC-B18F01832D57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Ben\Desktop\Freelance\"/>
    </mc:Choice>
  </mc:AlternateContent>
  <bookViews>
    <workbookView xWindow="0" yWindow="0" windowWidth="20490" windowHeight="8220"/>
  </bookViews>
  <sheets>
    <sheet name="Sheet1" sheetId="1" r:id="rId1"/>
  </sheets>
  <functionGroups builtInGroupCount="18"/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7" i="1" l="1"/>
  <c r="E16" i="1"/>
  <c r="C27" i="1"/>
  <c r="F21" i="1" s="1"/>
  <c r="E10" i="1"/>
  <c r="F20" i="1"/>
  <c r="E15" i="1"/>
  <c r="E9" i="1"/>
  <c r="E12" i="1"/>
  <c r="E5" i="1"/>
  <c r="E13" i="1"/>
  <c r="E14" i="1"/>
  <c r="E8" i="1"/>
  <c r="F4" i="1"/>
  <c r="E11" i="1"/>
  <c r="F23" i="1"/>
  <c r="F27" i="1" s="1"/>
</calcChain>
</file>

<file path=xl/sharedStrings.xml><?xml version="1.0" encoding="utf-8"?>
<sst xmlns="http://schemas.openxmlformats.org/spreadsheetml/2006/main" count="47" uniqueCount="39">
  <si>
    <t>Employee</t>
  </si>
  <si>
    <t>Date</t>
  </si>
  <si>
    <t>Gross Payout</t>
  </si>
  <si>
    <t>Tier 1</t>
  </si>
  <si>
    <t>Tier 2</t>
  </si>
  <si>
    <t>Performance</t>
  </si>
  <si>
    <t>Tier 3</t>
  </si>
  <si>
    <t>Metrics</t>
  </si>
  <si>
    <t>Categories</t>
  </si>
  <si>
    <t>Payout</t>
  </si>
  <si>
    <t>Commission</t>
  </si>
  <si>
    <t>New Phones</t>
  </si>
  <si>
    <t>Upgrades</t>
  </si>
  <si>
    <t>Prepay</t>
  </si>
  <si>
    <t>Outright</t>
  </si>
  <si>
    <t>Tablets</t>
  </si>
  <si>
    <t>Pull-Through</t>
  </si>
  <si>
    <t>Equipment Protection Plans</t>
  </si>
  <si>
    <t>Accessories</t>
  </si>
  <si>
    <t>Edge Chargebacks</t>
  </si>
  <si>
    <t>2-Year Chargebacks</t>
  </si>
  <si>
    <t>Accelerators</t>
  </si>
  <si>
    <t>Category</t>
  </si>
  <si>
    <t>Goal</t>
  </si>
  <si>
    <t>EPP%</t>
  </si>
  <si>
    <t>Compounders</t>
  </si>
  <si>
    <t>Minimum</t>
  </si>
  <si>
    <t>Actual</t>
  </si>
  <si>
    <t>Total Boxes</t>
  </si>
  <si>
    <t>Total New</t>
  </si>
  <si>
    <t>Compensation Hit</t>
  </si>
  <si>
    <t>Total</t>
  </si>
  <si>
    <t>Contest Payout</t>
  </si>
  <si>
    <t>Commission Spiffs</t>
  </si>
  <si>
    <t>Lost Revenue Errors</t>
  </si>
  <si>
    <t>Final Commission</t>
  </si>
  <si>
    <t>John Smith</t>
  </si>
  <si>
    <t>Input values here</t>
  </si>
  <si>
    <t>See output values here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</si>
</sst>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44" formatCode="_(&quot;$&quot;* #,##0.00_);_(&quot;$&quot;* \(#,##0.00\);_(&quot;$&quot;* &quot;-&quot;??_);_(@_)"/>
    <numFmt numFmtId="164" formatCode="&quot;$&quot;#,##0.00"/>
    <numFmt numFmtId="165" formatCode="&quot;$&quot;#,##0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499984740745262"/>
        <bgColor indexed="64"/>
      </patternFill>
    </fill>
    <fill>
      <patternFill patternType="solid">
        <fgColor theme="9"/>
        <bgColor indexed="64"/>
      </patternFill>
    </fill>
  </fills>
  <borders count="4">
    <border>
      <left/>
      <right/>
      <top/>
      <bottom/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thick">
        <color auto="1"/>
      </right>
      <top/>
      <bottom style="thick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25">
    <xf numFmtId="0" fontId="0" fillId="0" borderId="0" xfId="0"/>
    <xf numFmtId="0" fontId="2" fillId="0" borderId="0" xfId="0" applyFont="1"/>
    <xf numFmtId="164" fontId="0" fillId="3" borderId="1" xfId="0" applyNumberFormat="1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9" fontId="0" fillId="2" borderId="1" xfId="0" applyNumberFormat="1" applyFill="1" applyBorder="1" applyAlignment="1">
      <alignment horizontal="center"/>
    </xf>
    <xf numFmtId="164" fontId="1" fillId="2" borderId="1" xfId="1" applyNumberFormat="1" applyFont="1" applyFill="1" applyBorder="1" applyAlignment="1">
      <alignment horizontal="center"/>
    </xf>
    <xf numFmtId="164" fontId="0" fillId="2" borderId="1" xfId="1" applyNumberFormat="1" applyFont="1" applyFill="1" applyBorder="1" applyAlignment="1">
      <alignment horizontal="center"/>
    </xf>
    <xf numFmtId="164" fontId="0" fillId="3" borderId="1" xfId="1" applyNumberFormat="1" applyFont="1" applyFill="1" applyBorder="1" applyAlignment="1">
      <alignment horizontal="center"/>
    </xf>
    <xf numFmtId="9" fontId="0" fillId="3" borderId="1" xfId="0" applyNumberFormat="1" applyFill="1" applyBorder="1" applyAlignment="1">
      <alignment horizontal="center"/>
    </xf>
    <xf numFmtId="14" fontId="0" fillId="2" borderId="1" xfId="0" applyNumberFormat="1" applyFill="1" applyBorder="1" applyAlignment="1">
      <alignment horizontal="center"/>
    </xf>
    <xf numFmtId="0" fontId="0" fillId="2" borderId="1" xfId="0" applyFill="1" applyBorder="1"/>
    <xf numFmtId="0" fontId="0" fillId="3" borderId="1" xfId="0" applyFill="1" applyBorder="1"/>
    <xf numFmtId="0" fontId="2" fillId="0" borderId="1" xfId="0" applyFont="1" applyBorder="1" applyAlignment="1">
      <alignment horizontal="center"/>
    </xf>
    <xf numFmtId="165" fontId="0" fillId="2" borderId="2" xfId="1" applyNumberFormat="1" applyFont="1" applyFill="1" applyBorder="1" applyAlignment="1">
      <alignment horizontal="center"/>
    </xf>
    <xf numFmtId="164" fontId="0" fillId="3" borderId="2" xfId="1" applyNumberFormat="1" applyFont="1" applyFill="1" applyBorder="1" applyAlignment="1">
      <alignment horizontal="center"/>
    </xf>
    <xf numFmtId="0" fontId="2" fillId="0" borderId="1" xfId="0" applyFont="1" applyBorder="1" applyAlignment="1">
      <alignment horizontal="center" vertical="center"/>
    </xf>
    <xf numFmtId="165" fontId="0" fillId="0" borderId="1" xfId="1" applyNumberFormat="1" applyFont="1" applyBorder="1" applyAlignment="1">
      <alignment horizontal="center"/>
    </xf>
    <xf numFmtId="9" fontId="0" fillId="0" borderId="1" xfId="0" applyNumberFormat="1" applyBorder="1" applyAlignment="1">
      <alignment horizontal="center"/>
    </xf>
    <xf numFmtId="0" fontId="0" fillId="2" borderId="2" xfId="0" applyFill="1" applyBorder="1" applyAlignment="1">
      <alignment horizontal="center"/>
    </xf>
    <xf numFmtId="0" fontId="0" fillId="0" borderId="1" xfId="0" applyBorder="1" applyAlignment="1">
      <alignment horizontal="center"/>
    </xf>
    <xf numFmtId="164" fontId="0" fillId="3" borderId="2" xfId="0" applyNumberFormat="1" applyFill="1" applyBorder="1" applyAlignment="1">
      <alignment horizontal="center"/>
    </xf>
    <xf numFmtId="0" fontId="0" fillId="0" borderId="1" xfId="1" applyNumberFormat="1" applyFont="1" applyBorder="1" applyAlignment="1">
      <alignment horizontal="center"/>
    </xf>
    <xf numFmtId="165" fontId="0" fillId="0" borderId="1" xfId="0" applyNumberFormat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0" fillId="3" borderId="3" xfId="0" applyFill="1" applyBorder="1" applyAlignment="1">
      <alignment horizontal="center"/>
    </xf>
  </cellXfs>
  <cellStyles count="2">
    <cellStyle name="Currency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28"/>
  <sheetViews>
    <sheetView tabSelected="1" zoomScaleNormal="100" workbookViewId="0">
      <selection activeCell="F1" sqref="F1"/>
    </sheetView>
  </sheetViews>
  <sheetFormatPr defaultRowHeight="15" x14ac:dyDescent="0.25"/>
  <cols>
    <col min="1" max="1" width="18.28515625" customWidth="1"/>
    <col min="2" max="2" width="26.140625" bestFit="1" customWidth="1"/>
    <col min="3" max="3" width="10.5703125" bestFit="1" customWidth="1"/>
    <col min="4" max="4" width="12.5703125" bestFit="1" customWidth="1"/>
    <col min="5" max="5" width="18.7109375" bestFit="1" customWidth="1"/>
    <col min="6" max="6" width="11.85546875" bestFit="1" customWidth="1"/>
    <col min="9" max="9" width="21.85546875" bestFit="1" customWidth="1"/>
  </cols>
  <sheetData>
    <row r="1" spans="1:9" ht="16.5" thickTop="1" thickBot="1" x14ac:dyDescent="0.3">
      <c r="A1" s="12" t="s">
        <v>0</v>
      </c>
      <c r="B1" s="3" t="s">
        <v>36</v>
      </c>
      <c r="D1" s="12" t="s">
        <v>1</v>
      </c>
      <c r="E1" s="9">
        <v>42621</v>
      </c>
      <c r="I1" s="10" t="s">
        <v>37</v>
      </c>
    </row>
    <row r="2" spans="1:9" ht="16.5" thickTop="1" thickBot="1" x14ac:dyDescent="0.3">
      <c r="I2" s="11" t="s">
        <v>38</v>
      </c>
    </row>
    <row r="3" spans="1:9" ht="15" customHeight="1" thickTop="1" thickBot="1" x14ac:dyDescent="0.3">
      <c r="A3" s="15" t="s">
        <v>2</v>
      </c>
      <c r="B3" s="12" t="s">
        <v>3</v>
      </c>
      <c r="C3" s="12" t="s">
        <v>4</v>
      </c>
      <c r="D3" s="12" t="s">
        <v>6</v>
      </c>
      <c r="E3" s="12" t="s">
        <v>5</v>
      </c>
      <c r="F3" s="12" t="s">
        <v>10</v>
      </c>
    </row>
    <row r="4" spans="1:9" ht="16.5" thickTop="1" thickBot="1" x14ac:dyDescent="0.3">
      <c r="B4" s="16">
        <v>5000</v>
      </c>
      <c r="C4" s="16">
        <v>7500</v>
      </c>
      <c r="D4" s="16">
        <v>10000</v>
      </c>
      <c r="E4" s="13">
        <v>11226</v>
      </c>
      <c r="F4" s="14">
        <f>getPayout(B4,C4,D4,E4,C27)</f>
        <v>0</v>
      </c>
    </row>
    <row r="5" spans="1:9" ht="16.5" thickTop="1" thickBot="1" x14ac:dyDescent="0.3">
      <c r="B5" s="17">
        <v>0.03</v>
      </c>
      <c r="C5" s="17">
        <v>7.0000000000000007E-2</v>
      </c>
      <c r="D5" s="17">
        <v>0.11</v>
      </c>
      <c r="E5" s="8">
        <f>getTier(B4,C4,D4,E4,C27)</f>
        <v>0</v>
      </c>
    </row>
    <row r="6" spans="1:9" ht="16.5" thickTop="1" thickBot="1" x14ac:dyDescent="0.3"/>
    <row r="7" spans="1:9" ht="16.5" thickTop="1" thickBot="1" x14ac:dyDescent="0.3">
      <c r="A7" s="12" t="s">
        <v>7</v>
      </c>
      <c r="B7" s="12" t="s">
        <v>8</v>
      </c>
      <c r="C7" s="12" t="s">
        <v>9</v>
      </c>
      <c r="D7" s="12" t="s">
        <v>5</v>
      </c>
      <c r="E7" s="12" t="s">
        <v>10</v>
      </c>
    </row>
    <row r="8" spans="1:9" ht="16.5" thickTop="1" thickBot="1" x14ac:dyDescent="0.3">
      <c r="B8" s="19" t="s">
        <v>11</v>
      </c>
      <c r="C8" s="16">
        <v>8</v>
      </c>
      <c r="D8" s="18">
        <v>5</v>
      </c>
      <c r="E8" s="14">
        <f>getCommission(C8,D8,C27)</f>
        <v>26.666666666666664</v>
      </c>
    </row>
    <row r="9" spans="1:9" ht="16.5" thickTop="1" thickBot="1" x14ac:dyDescent="0.3">
      <c r="B9" s="19" t="s">
        <v>12</v>
      </c>
      <c r="C9" s="16">
        <v>6</v>
      </c>
      <c r="D9" s="3">
        <v>41</v>
      </c>
      <c r="E9" s="7">
        <f>getCommission(C9,D9,C27)</f>
        <v>164</v>
      </c>
    </row>
    <row r="10" spans="1:9" ht="16.5" thickTop="1" thickBot="1" x14ac:dyDescent="0.3">
      <c r="B10" s="19" t="s">
        <v>13</v>
      </c>
      <c r="C10" s="16">
        <v>5</v>
      </c>
      <c r="D10" s="3">
        <v>3</v>
      </c>
      <c r="E10" s="7">
        <f>getCommission(C10,D10,C27)</f>
        <v>10</v>
      </c>
    </row>
    <row r="11" spans="1:9" ht="16.5" thickTop="1" thickBot="1" x14ac:dyDescent="0.3">
      <c r="B11" s="19" t="s">
        <v>14</v>
      </c>
      <c r="C11" s="16">
        <v>5</v>
      </c>
      <c r="D11" s="3">
        <v>0</v>
      </c>
      <c r="E11" s="7">
        <f>getCommission(C11,D11,C27)</f>
        <v>0</v>
      </c>
    </row>
    <row r="12" spans="1:9" ht="16.5" thickTop="1" thickBot="1" x14ac:dyDescent="0.3">
      <c r="B12" s="19" t="s">
        <v>15</v>
      </c>
      <c r="C12" s="16">
        <v>10</v>
      </c>
      <c r="D12" s="3">
        <v>2</v>
      </c>
      <c r="E12" s="7">
        <f>getCommission(C12,D12,C27)</f>
        <v>13.333333333333332</v>
      </c>
    </row>
    <row r="13" spans="1:9" ht="16.5" thickTop="1" thickBot="1" x14ac:dyDescent="0.3">
      <c r="B13" s="19" t="s">
        <v>16</v>
      </c>
      <c r="C13" s="16">
        <v>10</v>
      </c>
      <c r="D13" s="3">
        <v>0</v>
      </c>
      <c r="E13" s="7">
        <f>getCommission(C13,D13,C27)</f>
        <v>0</v>
      </c>
    </row>
    <row r="14" spans="1:9" ht="16.5" thickTop="1" thickBot="1" x14ac:dyDescent="0.3">
      <c r="B14" s="19" t="s">
        <v>17</v>
      </c>
      <c r="C14" s="16">
        <v>3</v>
      </c>
      <c r="D14" s="3">
        <v>33</v>
      </c>
      <c r="E14" s="7">
        <f>getCommission(C14,D14,C27)</f>
        <v>66</v>
      </c>
    </row>
    <row r="15" spans="1:9" ht="16.5" thickTop="1" thickBot="1" x14ac:dyDescent="0.3">
      <c r="B15" s="19" t="s">
        <v>18</v>
      </c>
      <c r="C15" s="16">
        <v>1</v>
      </c>
      <c r="D15" s="3">
        <v>82</v>
      </c>
      <c r="E15" s="7">
        <f>getCommission(C15,D15,C27)</f>
        <v>54.666666666666664</v>
      </c>
    </row>
    <row r="16" spans="1:9" ht="16.5" thickTop="1" thickBot="1" x14ac:dyDescent="0.3">
      <c r="B16" s="19" t="s">
        <v>19</v>
      </c>
      <c r="C16" s="16">
        <v>-10</v>
      </c>
      <c r="D16" s="3">
        <v>2</v>
      </c>
      <c r="E16" s="7">
        <f>getLosses(C16,D16)</f>
        <v>-20</v>
      </c>
    </row>
    <row r="17" spans="1:6" ht="16.5" thickTop="1" thickBot="1" x14ac:dyDescent="0.3">
      <c r="B17" s="19" t="s">
        <v>20</v>
      </c>
      <c r="C17" s="16">
        <v>-30</v>
      </c>
      <c r="D17" s="3">
        <v>0</v>
      </c>
      <c r="E17" s="2">
        <f>getLosses(C17,D17)</f>
        <v>0</v>
      </c>
    </row>
    <row r="18" spans="1:6" ht="16.5" thickTop="1" thickBot="1" x14ac:dyDescent="0.3"/>
    <row r="19" spans="1:6" ht="16.5" thickTop="1" thickBot="1" x14ac:dyDescent="0.3">
      <c r="A19" s="12" t="s">
        <v>21</v>
      </c>
      <c r="B19" s="12" t="s">
        <v>22</v>
      </c>
      <c r="C19" s="12" t="s">
        <v>23</v>
      </c>
      <c r="D19" s="12" t="s">
        <v>9</v>
      </c>
      <c r="E19" s="12" t="s">
        <v>5</v>
      </c>
      <c r="F19" s="12" t="s">
        <v>10</v>
      </c>
    </row>
    <row r="20" spans="1:6" ht="16.5" thickTop="1" thickBot="1" x14ac:dyDescent="0.3">
      <c r="B20" s="19" t="s">
        <v>15</v>
      </c>
      <c r="C20" s="21">
        <v>7</v>
      </c>
      <c r="D20" s="22">
        <v>10</v>
      </c>
      <c r="E20" s="18">
        <v>2</v>
      </c>
      <c r="F20" s="20">
        <f>getTabletAccelerator(E20,C20,C27)</f>
        <v>0</v>
      </c>
    </row>
    <row r="21" spans="1:6" ht="16.5" thickTop="1" thickBot="1" x14ac:dyDescent="0.3">
      <c r="B21" s="19" t="s">
        <v>24</v>
      </c>
      <c r="C21" s="17">
        <v>0.85</v>
      </c>
      <c r="D21" s="17">
        <v>0.02</v>
      </c>
      <c r="E21" s="4">
        <v>0.69</v>
      </c>
      <c r="F21" s="2">
        <f>getEPPAccelerator(E4,E21,C21,C27)</f>
        <v>0</v>
      </c>
    </row>
    <row r="22" spans="1:6" ht="16.5" thickTop="1" thickBot="1" x14ac:dyDescent="0.3"/>
    <row r="23" spans="1:6" ht="16.5" thickTop="1" thickBot="1" x14ac:dyDescent="0.3">
      <c r="A23" s="12" t="s">
        <v>25</v>
      </c>
      <c r="B23" s="12" t="s">
        <v>26</v>
      </c>
      <c r="C23" s="12" t="s">
        <v>27</v>
      </c>
      <c r="D23" s="1"/>
      <c r="E23" s="12" t="s">
        <v>31</v>
      </c>
      <c r="F23" s="5">
        <f>getTotal(F4,E8,E9,E10,E11,E12,E13,E14,E15,E16,E17,F20,F21)</f>
        <v>314.66669999999999</v>
      </c>
    </row>
    <row r="24" spans="1:6" ht="16.5" thickTop="1" thickBot="1" x14ac:dyDescent="0.3">
      <c r="A24" s="19" t="s">
        <v>28</v>
      </c>
      <c r="B24" s="19">
        <v>30</v>
      </c>
      <c r="C24" s="23">
        <v>51</v>
      </c>
      <c r="E24" s="19" t="s">
        <v>32</v>
      </c>
      <c r="F24" s="6">
        <v>0</v>
      </c>
    </row>
    <row r="25" spans="1:6" ht="16.5" thickTop="1" thickBot="1" x14ac:dyDescent="0.3">
      <c r="A25" s="19" t="s">
        <v>15</v>
      </c>
      <c r="B25" s="19">
        <v>5</v>
      </c>
      <c r="C25" s="23">
        <v>2</v>
      </c>
      <c r="E25" s="19" t="s">
        <v>33</v>
      </c>
      <c r="F25" s="6">
        <v>25</v>
      </c>
    </row>
    <row r="26" spans="1:6" ht="16.5" thickTop="1" thickBot="1" x14ac:dyDescent="0.3">
      <c r="A26" s="19" t="s">
        <v>29</v>
      </c>
      <c r="B26" s="19">
        <v>12</v>
      </c>
      <c r="C26" s="23">
        <v>10</v>
      </c>
      <c r="E26" s="19" t="s">
        <v>34</v>
      </c>
      <c r="F26" s="6">
        <v>0</v>
      </c>
    </row>
    <row r="27" spans="1:6" ht="16.5" thickTop="1" thickBot="1" x14ac:dyDescent="0.3">
      <c r="A27" s="12" t="s">
        <v>30</v>
      </c>
      <c r="B27" s="12" t="s">
        <v>31</v>
      </c>
      <c r="C27" s="24">
        <f>getTotalCompounders(B24,B25,B26,C24,C25,C26)</f>
        <v>1</v>
      </c>
      <c r="E27" s="19" t="s">
        <v>35</v>
      </c>
      <c r="F27" s="7">
        <f>getTotalCommission(F23,F24,F25,F26)</f>
        <v>339.66669999999999</v>
      </c>
    </row>
    <row r="28" spans="1:6" ht="15.75" thickTop="1" x14ac:dyDescent="0.25"/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Ben M</dc:creator>
  <cp:lastModifiedBy>Ben M</cp:lastModifiedBy>
  <dcterms:created xsi:type="dcterms:W3CDTF">2016-09-06T17:23:46Z</dcterms:created>
  <dcterms:modified xsi:type="dcterms:W3CDTF">2016-09-09T00:47:40Z</dcterms:modified>
</cp:coreProperties>
</file>